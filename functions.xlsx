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462AD16496F841E3/Desktop/"/>
    </mc:Choice>
  </mc:AlternateContent>
  <xr:revisionPtr revIDLastSave="275" documentId="8_{7C7593D2-A2C1-4592-82D7-D1B6274BBC6D}" xr6:coauthVersionLast="47" xr6:coauthVersionMax="47" xr10:uidLastSave="{567BFEE0-BC0C-403A-8ED3-720137EBDA9A}"/>
  <bookViews>
    <workbookView xWindow="-108" yWindow="-108" windowWidth="23256" windowHeight="12456" xr2:uid="{D759CF81-25D4-405F-BF11-AB549B4611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8" i="1" l="1"/>
  <c r="L78" i="1"/>
  <c r="I69" i="1"/>
  <c r="G57" i="1"/>
  <c r="G58" i="1"/>
  <c r="G56" i="1"/>
  <c r="L31" i="1"/>
  <c r="F25" i="1"/>
  <c r="F22" i="1"/>
  <c r="F23" i="1"/>
  <c r="F24" i="1"/>
  <c r="F26" i="1"/>
  <c r="F12" i="1"/>
  <c r="F13" i="1"/>
  <c r="F14" i="1"/>
  <c r="F15" i="1"/>
  <c r="C3" i="1"/>
  <c r="C4" i="1"/>
  <c r="C5" i="1"/>
  <c r="C6" i="1"/>
  <c r="C2" i="1"/>
</calcChain>
</file>

<file path=xl/sharedStrings.xml><?xml version="1.0" encoding="utf-8"?>
<sst xmlns="http://schemas.openxmlformats.org/spreadsheetml/2006/main" count="93" uniqueCount="77">
  <si>
    <t>Marks</t>
  </si>
  <si>
    <t>Students Name</t>
  </si>
  <si>
    <t>Riya</t>
  </si>
  <si>
    <t>Siya</t>
  </si>
  <si>
    <t>Raju</t>
  </si>
  <si>
    <t>Rahul</t>
  </si>
  <si>
    <t>Ram</t>
  </si>
  <si>
    <t>Pass/Fail</t>
  </si>
  <si>
    <t>the pass/fail column is the solution of question 1</t>
  </si>
  <si>
    <t xml:space="preserve">Question 2: </t>
  </si>
  <si>
    <t>company gives a bonus  if sales are above 40,000 and attendance is greater than or equal to 90%. Write a formula to calculate whether the employee will get a bonus or not .</t>
  </si>
  <si>
    <t>Employee</t>
  </si>
  <si>
    <t>Sales</t>
  </si>
  <si>
    <t>Attendance</t>
  </si>
  <si>
    <t>Arjun</t>
  </si>
  <si>
    <t>Simran</t>
  </si>
  <si>
    <t xml:space="preserve">Rohit </t>
  </si>
  <si>
    <t>Anjali</t>
  </si>
  <si>
    <t>bonus status ( answer 2 )</t>
  </si>
  <si>
    <t>Question 3</t>
  </si>
  <si>
    <t>Raj</t>
  </si>
  <si>
    <t>Neha</t>
  </si>
  <si>
    <t>Vivek</t>
  </si>
  <si>
    <t>Rani</t>
  </si>
  <si>
    <t>Sneha</t>
  </si>
  <si>
    <t>Write a nested IF formula:_x000B_ If marks in are ≥ 90 →" A" , ≥ 75 →"B" , ≥ 50 →"C" , otherwise . B2 "A" "B" "C" "Fail"</t>
  </si>
  <si>
    <t>Question 4</t>
  </si>
  <si>
    <t>Find the Department of Employee ID = E103. Also explain which LOOKUP function is used and why?</t>
  </si>
  <si>
    <t>EmpID</t>
  </si>
  <si>
    <t>Name</t>
  </si>
  <si>
    <t>Department</t>
  </si>
  <si>
    <t>E101</t>
  </si>
  <si>
    <t>E102</t>
  </si>
  <si>
    <t>E103</t>
  </si>
  <si>
    <t>E104</t>
  </si>
  <si>
    <t xml:space="preserve">Roshni </t>
  </si>
  <si>
    <t>Sejal</t>
  </si>
  <si>
    <t>IT</t>
  </si>
  <si>
    <t>HR</t>
  </si>
  <si>
    <t>Finance</t>
  </si>
  <si>
    <t>DEPARTMENT OF EMPLOYEE ID = E101 IS (ANSWER 4):</t>
  </si>
  <si>
    <t>Question 5</t>
  </si>
  <si>
    <t xml:space="preserve">in this formula we use VLOOLUP </t>
  </si>
  <si>
    <t xml:space="preserve">This is because the employee id is in another first and leftmost coloumn ans the department is in the another coloumn of the same tanle and it helps to look for information vertically </t>
  </si>
  <si>
    <t>Sales amount</t>
  </si>
  <si>
    <t xml:space="preserve">Commission Rate </t>
  </si>
  <si>
    <t xml:space="preserve">
</t>
  </si>
  <si>
    <t>If a salesperson achieves sales of ₹45,000, use the VLOOKUP function to determine the commission rate applicable.</t>
  </si>
  <si>
    <t>A company has set the following commission structure for its sales team:</t>
  </si>
  <si>
    <t>Commission rate applicable:</t>
  </si>
  <si>
    <t>Question 6</t>
  </si>
  <si>
    <t xml:space="preserve">Sales of the salesperson:                </t>
  </si>
  <si>
    <t>Employee Name</t>
  </si>
  <si>
    <t>Leaves Taken</t>
  </si>
  <si>
    <t>Leaves allowed</t>
  </si>
  <si>
    <t>Alex</t>
  </si>
  <si>
    <t>Anna</t>
  </si>
  <si>
    <t>Bob</t>
  </si>
  <si>
    <t>1. If Leaves Taken &gt; Allowed Leaves, display "Exceeded".</t>
  </si>
  <si>
    <t>2. Otherwise, display "OK"._x000B_</t>
  </si>
  <si>
    <t>(ANSWER 6)</t>
  </si>
  <si>
    <t>The HR department maintains the following leave records of employees:Bonus or not .</t>
  </si>
  <si>
    <t>Question 7</t>
  </si>
  <si>
    <t>Find the salary of EmpID = E105 using INDEX-MATCH Function.</t>
  </si>
  <si>
    <t>Salary</t>
  </si>
  <si>
    <t>E105</t>
  </si>
  <si>
    <t>E106</t>
  </si>
  <si>
    <t>Salary of EmpID = E105:</t>
  </si>
  <si>
    <t>(ANSWER 7)</t>
  </si>
  <si>
    <t>Question 8</t>
  </si>
  <si>
    <t>E303</t>
  </si>
  <si>
    <t>E301</t>
  </si>
  <si>
    <t>Use the XLOOKUP function to find the Department of the employee with Emp ID = E303.</t>
  </si>
  <si>
    <t>Department of the employee with Emp ID = E303 (ANSWER 8):</t>
  </si>
  <si>
    <r>
      <rPr>
        <b/>
        <sz val="16"/>
        <color theme="1"/>
        <rFont val="Calibri"/>
        <family val="2"/>
        <scheme val="minor"/>
      </rPr>
      <t>Question 1</t>
    </r>
    <r>
      <rPr>
        <sz val="14"/>
        <color theme="1"/>
        <rFont val="Calibri"/>
        <family val="2"/>
        <scheme val="minor"/>
      </rPr>
      <t>:</t>
    </r>
    <r>
      <rPr>
        <sz val="12"/>
        <color theme="1"/>
        <rFont val="Calibri"/>
        <family val="2"/>
        <scheme val="minor"/>
      </rPr>
      <t>write a formula to check if the marks in cell B2 are greater than or equal to 40. If yes, return"Pass" , otherwise "Fail".</t>
    </r>
  </si>
  <si>
    <r>
      <t xml:space="preserve">Grades </t>
    </r>
    <r>
      <rPr>
        <b/>
        <sz val="11"/>
        <color theme="4"/>
        <rFont val="Calibri"/>
        <family val="2"/>
        <scheme val="minor"/>
      </rPr>
      <t>(ANSWER 3)</t>
    </r>
  </si>
  <si>
    <r>
      <t>W</t>
    </r>
    <r>
      <rPr>
        <b/>
        <sz val="11"/>
        <color theme="1"/>
        <rFont val="Calibri"/>
        <family val="2"/>
        <scheme val="minor"/>
      </rPr>
      <t>rite an IF function to check whether an employee has Exceeded their allowed leave balance.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</si>
</sst>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theme="1"/>
      <name val="Calibri"/>
      <family val="2"/>
      <scheme val="minor"/>
    </font>
    <font>
      <b/>
      <sz val="16"/>
      <color theme="1"/>
      <name val="Calibri"/>
      <family val="2"/>
      <scheme val="minor"/>
    </font>
    <font>
      <b/>
      <sz val="11"/>
      <color theme="1"/>
      <name val="Calibri"/>
      <family val="2"/>
      <scheme val="minor"/>
    </font>
    <font>
      <b/>
      <sz val="11"/>
      <color theme="4"/>
      <name val="Calibri"/>
      <family val="2"/>
      <scheme val="minor"/>
    </font>
    <font>
      <sz val="12"/>
      <color theme="1"/>
      <name val="Calibri"/>
      <family val="2"/>
      <scheme val="minor"/>
    </font>
    <font>
      <b/>
      <u/>
      <sz val="11"/>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0" borderId="0" xfId="0" applyFont="1"/>
    <xf numFmtId="9" fontId="0" fillId="0" borderId="0" xfId="0" applyNumberForma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C1942-617D-4B99-90F2-9ECFFE9CFD64}">
  <dimension ref="A1:M80"/>
  <sheetViews>
    <sheetView tabSelected="1" topLeftCell="A57" zoomScale="110" zoomScaleNormal="110" workbookViewId="0">
      <selection activeCell="R73" sqref="R73"/>
    </sheetView>
  </sheetViews>
  <sheetFormatPr defaultRowHeight="14.4" x14ac:dyDescent="0.3"/>
  <cols>
    <col min="4" max="4" width="10.6640625" customWidth="1"/>
    <col min="5" max="11" width="10.21875" customWidth="1"/>
  </cols>
  <sheetData>
    <row r="1" spans="1:6" ht="21" x14ac:dyDescent="0.4">
      <c r="A1" t="s">
        <v>1</v>
      </c>
      <c r="B1" t="s">
        <v>0</v>
      </c>
      <c r="C1" s="5" t="s">
        <v>7</v>
      </c>
      <c r="E1" s="1" t="s">
        <v>74</v>
      </c>
    </row>
    <row r="2" spans="1:6" x14ac:dyDescent="0.3">
      <c r="A2" t="s">
        <v>2</v>
      </c>
      <c r="B2">
        <v>45</v>
      </c>
      <c r="C2" t="str">
        <f>IF(B2&gt;=40,"Pass","Fail")</f>
        <v>Pass</v>
      </c>
    </row>
    <row r="3" spans="1:6" x14ac:dyDescent="0.3">
      <c r="A3" t="s">
        <v>3</v>
      </c>
      <c r="B3">
        <v>72</v>
      </c>
      <c r="C3" t="str">
        <f t="shared" ref="C3:C6" si="0">IF(B3&gt;=40,"Pass","Fail")</f>
        <v>Pass</v>
      </c>
      <c r="E3" s="5" t="s">
        <v>8</v>
      </c>
    </row>
    <row r="4" spans="1:6" x14ac:dyDescent="0.3">
      <c r="A4" t="s">
        <v>4</v>
      </c>
      <c r="B4">
        <v>55</v>
      </c>
      <c r="C4" t="str">
        <f t="shared" si="0"/>
        <v>Pass</v>
      </c>
    </row>
    <row r="5" spans="1:6" x14ac:dyDescent="0.3">
      <c r="A5" t="s">
        <v>5</v>
      </c>
      <c r="B5">
        <v>80</v>
      </c>
      <c r="C5" t="str">
        <f t="shared" si="0"/>
        <v>Pass</v>
      </c>
    </row>
    <row r="6" spans="1:6" x14ac:dyDescent="0.3">
      <c r="A6" t="s">
        <v>6</v>
      </c>
      <c r="B6">
        <v>30</v>
      </c>
      <c r="C6" t="str">
        <f t="shared" si="0"/>
        <v>Fail</v>
      </c>
    </row>
    <row r="8" spans="1:6" ht="21" x14ac:dyDescent="0.4">
      <c r="A8" s="2" t="s">
        <v>9</v>
      </c>
    </row>
    <row r="9" spans="1:6" x14ac:dyDescent="0.3">
      <c r="C9" s="4" t="s">
        <v>10</v>
      </c>
    </row>
    <row r="11" spans="1:6" x14ac:dyDescent="0.3">
      <c r="C11" s="4" t="s">
        <v>11</v>
      </c>
      <c r="D11" s="4" t="s">
        <v>12</v>
      </c>
      <c r="E11" s="4" t="s">
        <v>13</v>
      </c>
      <c r="F11" s="5" t="s">
        <v>18</v>
      </c>
    </row>
    <row r="12" spans="1:6" x14ac:dyDescent="0.3">
      <c r="C12" t="s">
        <v>14</v>
      </c>
      <c r="D12">
        <v>55000</v>
      </c>
      <c r="E12">
        <v>95</v>
      </c>
      <c r="F12" t="str">
        <f>IF(AND(D12&gt;40000,E12&gt;=90),"Bonus","No Bonus")</f>
        <v>Bonus</v>
      </c>
    </row>
    <row r="13" spans="1:6" x14ac:dyDescent="0.3">
      <c r="C13" t="s">
        <v>15</v>
      </c>
      <c r="D13">
        <v>65000</v>
      </c>
      <c r="E13">
        <v>85</v>
      </c>
      <c r="F13" t="str">
        <f t="shared" ref="F13:F15" si="1">IF(AND(D13&gt;40000,E13&gt;=90),"Bonus","No Bonus")</f>
        <v>No Bonus</v>
      </c>
    </row>
    <row r="14" spans="1:6" x14ac:dyDescent="0.3">
      <c r="C14" t="s">
        <v>16</v>
      </c>
      <c r="D14">
        <v>30000</v>
      </c>
      <c r="E14">
        <v>90</v>
      </c>
      <c r="F14" t="str">
        <f t="shared" si="1"/>
        <v>No Bonus</v>
      </c>
    </row>
    <row r="15" spans="1:6" x14ac:dyDescent="0.3">
      <c r="C15" t="s">
        <v>17</v>
      </c>
      <c r="D15">
        <v>25000</v>
      </c>
      <c r="E15">
        <v>65</v>
      </c>
      <c r="F15" t="str">
        <f t="shared" si="1"/>
        <v>No Bonus</v>
      </c>
    </row>
    <row r="18" spans="1:13" ht="21" x14ac:dyDescent="0.4">
      <c r="A18" s="2" t="s">
        <v>19</v>
      </c>
    </row>
    <row r="19" spans="1:13" x14ac:dyDescent="0.3">
      <c r="C19" s="4" t="s">
        <v>25</v>
      </c>
    </row>
    <row r="21" spans="1:13" x14ac:dyDescent="0.3">
      <c r="D21" s="4" t="s">
        <v>1</v>
      </c>
      <c r="E21" s="4" t="s">
        <v>0</v>
      </c>
      <c r="F21" s="4" t="s">
        <v>75</v>
      </c>
    </row>
    <row r="22" spans="1:13" x14ac:dyDescent="0.3">
      <c r="C22" s="3"/>
      <c r="D22" t="s">
        <v>20</v>
      </c>
      <c r="E22">
        <v>85</v>
      </c>
      <c r="F22" t="str">
        <f>IF(E22&gt;=90,"A",(IF(E22&gt;=75,"B",IF(E22&gt;50,"C","Fail"))))</f>
        <v>B</v>
      </c>
    </row>
    <row r="23" spans="1:13" x14ac:dyDescent="0.3">
      <c r="D23" t="s">
        <v>21</v>
      </c>
      <c r="E23">
        <v>96</v>
      </c>
      <c r="F23" t="str">
        <f t="shared" ref="F23:F26" si="2">IF(E23&gt;=90,"A",(IF(E23&gt;=75,"B",IF(E23&gt;50,"C","Fail"))))</f>
        <v>A</v>
      </c>
    </row>
    <row r="24" spans="1:13" x14ac:dyDescent="0.3">
      <c r="D24" t="s">
        <v>22</v>
      </c>
      <c r="E24">
        <v>57</v>
      </c>
      <c r="F24" t="str">
        <f t="shared" si="2"/>
        <v>C</v>
      </c>
    </row>
    <row r="25" spans="1:13" x14ac:dyDescent="0.3">
      <c r="D25" t="s">
        <v>23</v>
      </c>
      <c r="E25">
        <v>92</v>
      </c>
      <c r="F25" t="str">
        <f>IF(E25&gt;=90,"A",(IF(E25&gt;=75,"B",IF(E25&gt;50,"C","Fail"))))</f>
        <v>A</v>
      </c>
    </row>
    <row r="26" spans="1:13" x14ac:dyDescent="0.3">
      <c r="D26" t="s">
        <v>24</v>
      </c>
      <c r="E26">
        <v>75</v>
      </c>
      <c r="F26" t="str">
        <f t="shared" si="2"/>
        <v>B</v>
      </c>
    </row>
    <row r="28" spans="1:13" ht="21" x14ac:dyDescent="0.4">
      <c r="A28" s="2" t="s">
        <v>26</v>
      </c>
    </row>
    <row r="29" spans="1:13" x14ac:dyDescent="0.3">
      <c r="C29" s="4" t="s">
        <v>27</v>
      </c>
    </row>
    <row r="31" spans="1:13" x14ac:dyDescent="0.3">
      <c r="C31" t="s">
        <v>28</v>
      </c>
      <c r="D31" t="s">
        <v>29</v>
      </c>
      <c r="E31" t="s">
        <v>30</v>
      </c>
      <c r="G31" s="5" t="s">
        <v>40</v>
      </c>
      <c r="L31" t="str">
        <f>VLOOKUP("E101",C32:E32,3,FALSE)</f>
        <v>IT</v>
      </c>
      <c r="M31" s="4" t="s">
        <v>42</v>
      </c>
    </row>
    <row r="32" spans="1:13" x14ac:dyDescent="0.3">
      <c r="C32" t="s">
        <v>31</v>
      </c>
      <c r="D32" t="s">
        <v>4</v>
      </c>
      <c r="E32" t="s">
        <v>37</v>
      </c>
      <c r="M32" s="4" t="s">
        <v>43</v>
      </c>
    </row>
    <row r="33" spans="1:8" x14ac:dyDescent="0.3">
      <c r="C33" t="s">
        <v>32</v>
      </c>
      <c r="D33" t="s">
        <v>2</v>
      </c>
      <c r="E33" t="s">
        <v>38</v>
      </c>
    </row>
    <row r="34" spans="1:8" x14ac:dyDescent="0.3">
      <c r="C34" t="s">
        <v>33</v>
      </c>
      <c r="D34" t="s">
        <v>35</v>
      </c>
      <c r="E34" t="s">
        <v>39</v>
      </c>
    </row>
    <row r="35" spans="1:8" x14ac:dyDescent="0.3">
      <c r="C35" t="s">
        <v>34</v>
      </c>
      <c r="D35" t="s">
        <v>36</v>
      </c>
      <c r="E35" t="s">
        <v>12</v>
      </c>
    </row>
    <row r="37" spans="1:8" ht="21" x14ac:dyDescent="0.4">
      <c r="A37" s="2" t="s">
        <v>41</v>
      </c>
    </row>
    <row r="38" spans="1:8" x14ac:dyDescent="0.3">
      <c r="C38" s="4" t="s">
        <v>48</v>
      </c>
    </row>
    <row r="40" spans="1:8" x14ac:dyDescent="0.3">
      <c r="D40" s="4" t="s">
        <v>44</v>
      </c>
      <c r="E40" s="4" t="s">
        <v>45</v>
      </c>
    </row>
    <row r="41" spans="1:8" x14ac:dyDescent="0.3">
      <c r="D41">
        <v>0</v>
      </c>
      <c r="E41" s="6">
        <v>0.05</v>
      </c>
    </row>
    <row r="42" spans="1:8" x14ac:dyDescent="0.3">
      <c r="D42">
        <v>20000</v>
      </c>
      <c r="E42" s="6">
        <v>0.1</v>
      </c>
    </row>
    <row r="43" spans="1:8" x14ac:dyDescent="0.3">
      <c r="D43">
        <v>50000</v>
      </c>
      <c r="E43" s="6">
        <v>0.15</v>
      </c>
    </row>
    <row r="44" spans="1:8" x14ac:dyDescent="0.3">
      <c r="D44">
        <v>80000</v>
      </c>
      <c r="E44" s="6">
        <v>0.2</v>
      </c>
    </row>
    <row r="45" spans="1:8" ht="15" customHeight="1" x14ac:dyDescent="0.3">
      <c r="C45" s="3" t="s">
        <v>46</v>
      </c>
    </row>
    <row r="46" spans="1:8" x14ac:dyDescent="0.3">
      <c r="D46" s="4" t="s">
        <v>47</v>
      </c>
    </row>
    <row r="48" spans="1:8" x14ac:dyDescent="0.3">
      <c r="E48" s="5" t="s">
        <v>49</v>
      </c>
      <c r="H48">
        <f>VLOOKUP(H50,D41:E44,2,TRUE)*100</f>
        <v>10</v>
      </c>
    </row>
    <row r="50" spans="1:9" x14ac:dyDescent="0.3">
      <c r="E50" s="5" t="s">
        <v>51</v>
      </c>
      <c r="H50">
        <v>45000</v>
      </c>
    </row>
    <row r="53" spans="1:9" ht="21" x14ac:dyDescent="0.4">
      <c r="A53" s="2" t="s">
        <v>50</v>
      </c>
    </row>
    <row r="54" spans="1:9" x14ac:dyDescent="0.3">
      <c r="C54" s="4" t="s">
        <v>61</v>
      </c>
    </row>
    <row r="55" spans="1:9" x14ac:dyDescent="0.3">
      <c r="D55" s="4" t="s">
        <v>52</v>
      </c>
      <c r="E55" s="4" t="s">
        <v>53</v>
      </c>
      <c r="F55" s="4" t="s">
        <v>54</v>
      </c>
      <c r="G55" s="7" t="s">
        <v>60</v>
      </c>
    </row>
    <row r="56" spans="1:9" x14ac:dyDescent="0.3">
      <c r="D56" t="s">
        <v>55</v>
      </c>
      <c r="E56">
        <v>10</v>
      </c>
      <c r="F56">
        <v>12</v>
      </c>
      <c r="G56" t="str">
        <f>IF($E56&gt;$F56,"Exceeded","OK")</f>
        <v>OK</v>
      </c>
    </row>
    <row r="57" spans="1:9" x14ac:dyDescent="0.3">
      <c r="D57" t="s">
        <v>57</v>
      </c>
      <c r="E57">
        <v>10</v>
      </c>
      <c r="F57">
        <v>15</v>
      </c>
      <c r="G57" t="str">
        <f t="shared" ref="G57:G58" si="3">IF($E57&gt;$F57,"Exceeded","OK")</f>
        <v>OK</v>
      </c>
    </row>
    <row r="58" spans="1:9" x14ac:dyDescent="0.3">
      <c r="D58" t="s">
        <v>56</v>
      </c>
      <c r="E58">
        <v>8</v>
      </c>
      <c r="F58">
        <v>12</v>
      </c>
      <c r="G58" t="str">
        <f t="shared" si="3"/>
        <v>OK</v>
      </c>
    </row>
    <row r="60" spans="1:9" x14ac:dyDescent="0.3">
      <c r="D60" t="s">
        <v>76</v>
      </c>
    </row>
    <row r="61" spans="1:9" x14ac:dyDescent="0.3">
      <c r="E61" s="4" t="s">
        <v>58</v>
      </c>
      <c r="F61" s="4"/>
      <c r="G61" s="4"/>
      <c r="H61" s="4"/>
      <c r="I61" s="4"/>
    </row>
    <row r="62" spans="1:9" x14ac:dyDescent="0.3">
      <c r="E62" s="4" t="s">
        <v>59</v>
      </c>
      <c r="F62" s="4"/>
      <c r="G62" s="4"/>
      <c r="H62" s="4"/>
      <c r="I62" s="4"/>
    </row>
    <row r="64" spans="1:9" ht="21" x14ac:dyDescent="0.4">
      <c r="A64" s="2" t="s">
        <v>62</v>
      </c>
    </row>
    <row r="65" spans="1:12" x14ac:dyDescent="0.3">
      <c r="C65" s="4" t="s">
        <v>63</v>
      </c>
      <c r="D65" s="4"/>
      <c r="E65" s="4"/>
      <c r="F65" s="4"/>
      <c r="G65" s="4"/>
      <c r="H65" s="4"/>
    </row>
    <row r="67" spans="1:12" x14ac:dyDescent="0.3">
      <c r="D67" s="4" t="s">
        <v>28</v>
      </c>
      <c r="E67" s="4" t="s">
        <v>64</v>
      </c>
    </row>
    <row r="68" spans="1:12" x14ac:dyDescent="0.3">
      <c r="D68" t="s">
        <v>34</v>
      </c>
      <c r="E68">
        <v>55000</v>
      </c>
      <c r="G68" s="5" t="s">
        <v>68</v>
      </c>
    </row>
    <row r="69" spans="1:12" x14ac:dyDescent="0.3">
      <c r="D69" t="s">
        <v>65</v>
      </c>
      <c r="E69">
        <v>72000</v>
      </c>
      <c r="G69" s="5" t="s">
        <v>67</v>
      </c>
      <c r="I69">
        <f>INDEX(E68:E71,MATCH("E105",D68:D71,0))</f>
        <v>72000</v>
      </c>
    </row>
    <row r="70" spans="1:12" x14ac:dyDescent="0.3">
      <c r="D70" t="s">
        <v>66</v>
      </c>
      <c r="E70">
        <v>62000</v>
      </c>
    </row>
    <row r="71" spans="1:12" x14ac:dyDescent="0.3">
      <c r="D71" t="s">
        <v>32</v>
      </c>
      <c r="E71">
        <v>41000</v>
      </c>
    </row>
    <row r="73" spans="1:12" ht="21" x14ac:dyDescent="0.4">
      <c r="A73" s="2" t="s">
        <v>69</v>
      </c>
    </row>
    <row r="74" spans="1:12" x14ac:dyDescent="0.3">
      <c r="C74" s="4" t="s">
        <v>72</v>
      </c>
      <c r="D74" s="4"/>
      <c r="E74" s="4"/>
      <c r="F74" s="4"/>
      <c r="G74" s="4"/>
      <c r="H74" s="4"/>
      <c r="I74" s="4"/>
      <c r="J74" s="4"/>
    </row>
    <row r="76" spans="1:12" x14ac:dyDescent="0.3">
      <c r="D76" s="4" t="s">
        <v>28</v>
      </c>
      <c r="E76" s="4" t="s">
        <v>64</v>
      </c>
    </row>
    <row r="77" spans="1:12" x14ac:dyDescent="0.3">
      <c r="D77" t="s">
        <v>31</v>
      </c>
      <c r="E77" t="s">
        <v>38</v>
      </c>
    </row>
    <row r="78" spans="1:12" x14ac:dyDescent="0.3">
      <c r="D78" t="s">
        <v>70</v>
      </c>
      <c r="E78" t="s">
        <v>37</v>
      </c>
      <c r="F78" s="5" t="s">
        <v>73</v>
      </c>
      <c r="L78" t="str">
        <f>_xlfn.XLOOKUP("E303",D77:D80,E77:E80)</f>
        <v>IT</v>
      </c>
    </row>
    <row r="79" spans="1:12" x14ac:dyDescent="0.3">
      <c r="D79" t="s">
        <v>66</v>
      </c>
      <c r="E79" t="s">
        <v>12</v>
      </c>
    </row>
    <row r="80" spans="1:12" x14ac:dyDescent="0.3">
      <c r="D80" t="s">
        <v>71</v>
      </c>
      <c r="E80" t="s">
        <v>39</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A2AF88-E4E2-4C7E-8557-48A5C0BF67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Verma</dc:creator>
  <cp:lastModifiedBy>Vaishnavi Verma</cp:lastModifiedBy>
  <dcterms:created xsi:type="dcterms:W3CDTF">2025-12-18T17:35:38Z</dcterms:created>
  <dcterms:modified xsi:type="dcterms:W3CDTF">2025-12-19T13:35:31Z</dcterms:modified>
</cp:coreProperties>
</file>